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sonManibog\Desktop\ITS-AI 2026\"/>
    </mc:Choice>
  </mc:AlternateContent>
  <xr:revisionPtr revIDLastSave="0" documentId="13_ncr:1_{3D60DD33-23D7-46C3-84D4-2CE217315846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Raw Data" sheetId="1" r:id="rId1"/>
    <sheet name="Checkpoints" sheetId="2" r:id="rId2"/>
    <sheet name="Guid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G13" i="2"/>
  <c r="H13" i="2" s="1"/>
  <c r="D13" i="2"/>
  <c r="K13" i="2" s="1"/>
  <c r="J12" i="2"/>
  <c r="G12" i="2"/>
  <c r="H12" i="2" s="1"/>
  <c r="D12" i="2"/>
  <c r="K12" i="2" s="1"/>
  <c r="J11" i="2"/>
  <c r="G11" i="2"/>
  <c r="H11" i="2" s="1"/>
  <c r="D11" i="2"/>
  <c r="K11" i="2" s="1"/>
  <c r="J10" i="2"/>
  <c r="G10" i="2"/>
  <c r="H10" i="2" s="1"/>
  <c r="D10" i="2"/>
  <c r="K10" i="2" s="1"/>
  <c r="J9" i="2"/>
  <c r="G9" i="2"/>
  <c r="H9" i="2" s="1"/>
  <c r="D9" i="2"/>
  <c r="K9" i="2" s="1"/>
  <c r="J8" i="2"/>
  <c r="G8" i="2"/>
  <c r="H8" i="2" s="1"/>
  <c r="D8" i="2"/>
  <c r="K8" i="2" s="1"/>
  <c r="K7" i="2"/>
  <c r="J7" i="2"/>
  <c r="H7" i="2"/>
  <c r="G7" i="2"/>
  <c r="D7" i="2"/>
  <c r="J6" i="2"/>
  <c r="G6" i="2"/>
  <c r="H6" i="2" s="1"/>
  <c r="D6" i="2"/>
  <c r="K6" i="2" s="1"/>
  <c r="J5" i="2"/>
  <c r="H5" i="2"/>
  <c r="G5" i="2"/>
  <c r="D5" i="2"/>
  <c r="K5" i="2" s="1"/>
  <c r="J4" i="2"/>
  <c r="H4" i="2"/>
  <c r="G4" i="2"/>
  <c r="D4" i="2"/>
  <c r="K4" i="2" s="1"/>
  <c r="J3" i="2"/>
  <c r="G3" i="2"/>
  <c r="H3" i="2" s="1"/>
  <c r="D3" i="2"/>
  <c r="K3" i="2" s="1"/>
  <c r="J2" i="2"/>
  <c r="O3" i="2" s="1"/>
  <c r="G2" i="2"/>
  <c r="H2" i="2" s="1"/>
  <c r="D2" i="2"/>
  <c r="K2" i="2" s="1"/>
  <c r="O4" i="2" l="1"/>
  <c r="L10" i="2"/>
  <c r="L6" i="2"/>
  <c r="L12" i="2"/>
  <c r="L4" i="2"/>
  <c r="L7" i="2"/>
  <c r="L13" i="2"/>
  <c r="L3" i="2"/>
  <c r="L9" i="2"/>
  <c r="L8" i="2"/>
  <c r="L11" i="2"/>
  <c r="L5" i="2"/>
  <c r="L2" i="2"/>
  <c r="O2" i="2"/>
  <c r="O5" i="2" l="1"/>
</calcChain>
</file>

<file path=xl/sharedStrings.xml><?xml version="1.0" encoding="utf-8"?>
<sst xmlns="http://schemas.openxmlformats.org/spreadsheetml/2006/main" count="119" uniqueCount="59">
  <si>
    <t>Date</t>
  </si>
  <si>
    <t>Month</t>
  </si>
  <si>
    <t>Season (Entered)</t>
  </si>
  <si>
    <t>Visitors</t>
  </si>
  <si>
    <t>Busy Day Label (Entered)</t>
  </si>
  <si>
    <t>Precipitation (in)</t>
  </si>
  <si>
    <t>Notes</t>
  </si>
  <si>
    <t>January</t>
  </si>
  <si>
    <t>Winter</t>
  </si>
  <si>
    <t>Not Busy</t>
  </si>
  <si>
    <t>Normal winter weekday</t>
  </si>
  <si>
    <t>February</t>
  </si>
  <si>
    <t>Holiday weekend</t>
  </si>
  <si>
    <t>March</t>
  </si>
  <si>
    <t>Spring</t>
  </si>
  <si>
    <t>Busy</t>
  </si>
  <si>
    <t>Incorrect label example</t>
  </si>
  <si>
    <t>April</t>
  </si>
  <si>
    <t>Slow rainy day</t>
  </si>
  <si>
    <t>May</t>
  </si>
  <si>
    <t>Memorial Day event</t>
  </si>
  <si>
    <t>June</t>
  </si>
  <si>
    <t>Summer</t>
  </si>
  <si>
    <t>Peak summer weekend</t>
  </si>
  <si>
    <t>July</t>
  </si>
  <si>
    <t>Holiday fireworks</t>
  </si>
  <si>
    <t>August</t>
  </si>
  <si>
    <t>Tournament weekend</t>
  </si>
  <si>
    <t>September</t>
  </si>
  <si>
    <t>Fall</t>
  </si>
  <si>
    <t>Pleasant weather</t>
  </si>
  <si>
    <t>October</t>
  </si>
  <si>
    <t>Halloween event</t>
  </si>
  <si>
    <t>November</t>
  </si>
  <si>
    <t>Missing precipitation example</t>
  </si>
  <si>
    <t>December</t>
  </si>
  <si>
    <t>Winter break rush</t>
  </si>
  <si>
    <t>Season (From Month)</t>
  </si>
  <si>
    <t>Expected Busy Label</t>
  </si>
  <si>
    <t>Label Check</t>
  </si>
  <si>
    <t>Completeness Check</t>
  </si>
  <si>
    <t>Consistency Check</t>
  </si>
  <si>
    <t>Overall Status</t>
  </si>
  <si>
    <t>Checkpoint</t>
  </si>
  <si>
    <t>Count</t>
  </si>
  <si>
    <t>Records needing label correction</t>
  </si>
  <si>
    <t>Records with missing precipitation</t>
  </si>
  <si>
    <t>Records with season mismatch</t>
  </si>
  <si>
    <t>Records passing all checks</t>
  </si>
  <si>
    <t>Data Transformation and QA Guidance</t>
  </si>
  <si>
    <t>Rule 1: Any day with more than 1,000 visitors should be labeled Busy.</t>
  </si>
  <si>
    <t>Rule 2: A 900-visitor day labeled Busy is incorrect and should be corrected to Not Busy.</t>
  </si>
  <si>
    <t>Rule 3: Transform month into season for staffing analysis.</t>
  </si>
  <si>
    <t>Rule 4: Do not convert missing precipitation to zero, because missing does not mean no rain.</t>
  </si>
  <si>
    <t>Recommended checkpoints:</t>
  </si>
  <si>
    <t>• Data is accurate</t>
  </si>
  <si>
    <t>• Data labels are accurate</t>
  </si>
  <si>
    <t>• Data is complete</t>
  </si>
  <si>
    <t>• Data is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</si>
</sst>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b/>
        <color rgb="FF92400E"/>
      </font>
      <fill>
        <patternFill patternType="solid">
          <bgColor rgb="FFFDE68A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2400E"/>
      </font>
      <fill>
        <patternFill patternType="solid">
          <bgColor rgb="FFFDE68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Historical Visitors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</c:v>
          </c:tx>
          <c:cat>
            <c:numRef>
              <c:f>'Raw Data'!$A$2:$A$13</c:f>
              <c:numCache>
                <c:formatCode>yyyy\-mm\-dd</c:formatCode>
                <c:ptCount val="12"/>
                <c:pt idx="0">
                  <c:v>45672</c:v>
                </c:pt>
                <c:pt idx="1">
                  <c:v>45705</c:v>
                </c:pt>
                <c:pt idx="2">
                  <c:v>45738</c:v>
                </c:pt>
                <c:pt idx="3">
                  <c:v>45759</c:v>
                </c:pt>
                <c:pt idx="4">
                  <c:v>45802</c:v>
                </c:pt>
                <c:pt idx="5">
                  <c:v>45822</c:v>
                </c:pt>
                <c:pt idx="6">
                  <c:v>45842</c:v>
                </c:pt>
                <c:pt idx="7">
                  <c:v>45878</c:v>
                </c:pt>
                <c:pt idx="8">
                  <c:v>45920</c:v>
                </c:pt>
                <c:pt idx="9">
                  <c:v>45961</c:v>
                </c:pt>
                <c:pt idx="10">
                  <c:v>45972</c:v>
                </c:pt>
                <c:pt idx="11">
                  <c:v>46019</c:v>
                </c:pt>
              </c:numCache>
            </c:numRef>
          </c:cat>
          <c:val>
            <c:numRef>
              <c:f>'Raw Data'!$B$2:$B$13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5-4431-A8D7-10A7C9209596}"/>
            </c:ext>
          </c:extLst>
        </c:ser>
        <c:ser>
          <c:idx val="1"/>
          <c:order val="1"/>
          <c:tx>
            <c:v>Season (Entered)</c:v>
          </c:tx>
          <c:cat>
            <c:numRef>
              <c:f>'Raw Data'!$A$2:$A$13</c:f>
              <c:numCache>
                <c:formatCode>yyyy\-mm\-dd</c:formatCode>
                <c:ptCount val="12"/>
                <c:pt idx="0">
                  <c:v>45672</c:v>
                </c:pt>
                <c:pt idx="1">
                  <c:v>45705</c:v>
                </c:pt>
                <c:pt idx="2">
                  <c:v>45738</c:v>
                </c:pt>
                <c:pt idx="3">
                  <c:v>45759</c:v>
                </c:pt>
                <c:pt idx="4">
                  <c:v>45802</c:v>
                </c:pt>
                <c:pt idx="5">
                  <c:v>45822</c:v>
                </c:pt>
                <c:pt idx="6">
                  <c:v>45842</c:v>
                </c:pt>
                <c:pt idx="7">
                  <c:v>45878</c:v>
                </c:pt>
                <c:pt idx="8">
                  <c:v>45920</c:v>
                </c:pt>
                <c:pt idx="9">
                  <c:v>45961</c:v>
                </c:pt>
                <c:pt idx="10">
                  <c:v>45972</c:v>
                </c:pt>
                <c:pt idx="11">
                  <c:v>46019</c:v>
                </c:pt>
              </c:numCache>
            </c:numRef>
          </c:cat>
          <c:val>
            <c:numRef>
              <c:f>'Raw Data'!$C$2:$C$13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5-4431-A8D7-10A7C9209596}"/>
            </c:ext>
          </c:extLst>
        </c:ser>
        <c:ser>
          <c:idx val="2"/>
          <c:order val="2"/>
          <c:tx>
            <c:v>Visitors</c:v>
          </c:tx>
          <c:cat>
            <c:numRef>
              <c:f>'Raw Data'!$A$2:$A$13</c:f>
              <c:numCache>
                <c:formatCode>yyyy\-mm\-dd</c:formatCode>
                <c:ptCount val="12"/>
                <c:pt idx="0">
                  <c:v>45672</c:v>
                </c:pt>
                <c:pt idx="1">
                  <c:v>45705</c:v>
                </c:pt>
                <c:pt idx="2">
                  <c:v>45738</c:v>
                </c:pt>
                <c:pt idx="3">
                  <c:v>45759</c:v>
                </c:pt>
                <c:pt idx="4">
                  <c:v>45802</c:v>
                </c:pt>
                <c:pt idx="5">
                  <c:v>45822</c:v>
                </c:pt>
                <c:pt idx="6">
                  <c:v>45842</c:v>
                </c:pt>
                <c:pt idx="7">
                  <c:v>45878</c:v>
                </c:pt>
                <c:pt idx="8">
                  <c:v>45920</c:v>
                </c:pt>
                <c:pt idx="9">
                  <c:v>45961</c:v>
                </c:pt>
                <c:pt idx="10">
                  <c:v>45972</c:v>
                </c:pt>
                <c:pt idx="11">
                  <c:v>46019</c:v>
                </c:pt>
              </c:numCache>
            </c:numRef>
          </c:cat>
          <c:val>
            <c:numRef>
              <c:f>'Raw Data'!$D$2:$D$13</c:f>
              <c:numCache>
                <c:formatCode>0</c:formatCode>
                <c:ptCount val="12"/>
                <c:pt idx="0">
                  <c:v>420</c:v>
                </c:pt>
                <c:pt idx="1">
                  <c:v>680</c:v>
                </c:pt>
                <c:pt idx="2">
                  <c:v>510</c:v>
                </c:pt>
                <c:pt idx="3">
                  <c:v>230</c:v>
                </c:pt>
                <c:pt idx="4">
                  <c:v>1140</c:v>
                </c:pt>
                <c:pt idx="5">
                  <c:v>1285</c:v>
                </c:pt>
                <c:pt idx="6">
                  <c:v>1560</c:v>
                </c:pt>
                <c:pt idx="7">
                  <c:v>1215</c:v>
                </c:pt>
                <c:pt idx="8">
                  <c:v>760</c:v>
                </c:pt>
                <c:pt idx="9">
                  <c:v>1025</c:v>
                </c:pt>
                <c:pt idx="10">
                  <c:v>540</c:v>
                </c:pt>
                <c:pt idx="11">
                  <c:v>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5-4431-A8D7-10A7C9209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13</xdr:row>
      <xdr:rowOff>142875</xdr:rowOff>
    </xdr:from>
    <xdr:to>
      <xdr:col>6</xdr:col>
      <xdr:colOff>1362075</xdr:colOff>
      <xdr:row>30</xdr:row>
      <xdr:rowOff>142875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G13">
  <tableColumns count="7">
    <tableColumn id="1" xr3:uid="{00000000-0010-0000-0000-000001000000}" name="Date"/>
    <tableColumn id="2" xr3:uid="{00000000-0010-0000-0000-000002000000}" name="Month"/>
    <tableColumn id="3" xr3:uid="{00000000-0010-0000-0000-000003000000}" name="Season (Entered)"/>
    <tableColumn id="4" xr3:uid="{00000000-0010-0000-0000-000004000000}" name="Visitors"/>
    <tableColumn id="5" xr3:uid="{00000000-0010-0000-0000-000005000000}" name="Busy Day Label (Entered)"/>
    <tableColumn id="6" xr3:uid="{00000000-0010-0000-0000-000006000000}" name="Precipitation (in)"/>
    <tableColumn id="7" xr3:uid="{00000000-0010-0000-0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4" sqref="F4"/>
    </sheetView>
  </sheetViews>
  <sheetFormatPr defaultRowHeight="14.25"/>
  <cols>
    <col min="1" max="1" width="14" customWidth="1"/>
    <col min="2" max="2" width="11" customWidth="1"/>
    <col min="3" max="3" width="16" customWidth="1"/>
    <col min="4" max="4" width="10" customWidth="1"/>
    <col min="5" max="6" width="18" customWidth="1"/>
    <col min="7" max="7" width="25" bestFit="1" customWidth="1"/>
    <col min="8" max="8" width="16" customWidth="1"/>
    <col min="9" max="9" width="14" customWidth="1"/>
    <col min="10" max="10" width="20" customWidth="1"/>
    <col min="11" max="11" width="18" customWidth="1"/>
    <col min="12" max="12" width="12" customWidth="1"/>
    <col min="14" max="14" width="28" customWidth="1"/>
    <col min="15" max="15" width="12" customWidth="1"/>
  </cols>
  <sheetData>
    <row r="1" spans="1:7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45672</v>
      </c>
      <c r="B2" t="s">
        <v>7</v>
      </c>
      <c r="C2" t="s">
        <v>8</v>
      </c>
      <c r="D2" s="2">
        <v>420</v>
      </c>
      <c r="E2" t="s">
        <v>9</v>
      </c>
      <c r="F2" s="3">
        <v>0.2</v>
      </c>
      <c r="G2" t="s">
        <v>10</v>
      </c>
    </row>
    <row r="3" spans="1:7">
      <c r="A3" s="1">
        <v>45705</v>
      </c>
      <c r="B3" t="s">
        <v>11</v>
      </c>
      <c r="C3" t="s">
        <v>8</v>
      </c>
      <c r="D3" s="2">
        <v>680</v>
      </c>
      <c r="E3" t="s">
        <v>15</v>
      </c>
      <c r="F3" s="3">
        <v>0</v>
      </c>
      <c r="G3" t="s">
        <v>12</v>
      </c>
    </row>
    <row r="4" spans="1:7">
      <c r="A4" s="1">
        <v>45738</v>
      </c>
      <c r="B4" t="s">
        <v>13</v>
      </c>
      <c r="C4" t="s">
        <v>14</v>
      </c>
      <c r="D4" s="2">
        <v>510</v>
      </c>
      <c r="E4" t="s">
        <v>9</v>
      </c>
      <c r="F4" s="3">
        <v>0.1</v>
      </c>
      <c r="G4" t="s">
        <v>16</v>
      </c>
    </row>
    <row r="5" spans="1:7">
      <c r="A5" s="1">
        <v>45759</v>
      </c>
      <c r="B5" t="s">
        <v>17</v>
      </c>
      <c r="C5" t="s">
        <v>14</v>
      </c>
      <c r="D5" s="2">
        <v>230</v>
      </c>
      <c r="E5" t="s">
        <v>9</v>
      </c>
      <c r="F5" s="3"/>
      <c r="G5" t="s">
        <v>18</v>
      </c>
    </row>
    <row r="6" spans="1:7">
      <c r="A6" s="1">
        <v>45802</v>
      </c>
      <c r="B6" t="s">
        <v>19</v>
      </c>
      <c r="C6" t="s">
        <v>14</v>
      </c>
      <c r="D6" s="2">
        <v>1140</v>
      </c>
      <c r="E6" t="s">
        <v>15</v>
      </c>
      <c r="F6" s="3">
        <v>0</v>
      </c>
      <c r="G6" t="s">
        <v>20</v>
      </c>
    </row>
    <row r="7" spans="1:7">
      <c r="A7" s="1">
        <v>45822</v>
      </c>
      <c r="B7" t="s">
        <v>21</v>
      </c>
      <c r="C7" t="s">
        <v>22</v>
      </c>
      <c r="D7" s="2">
        <v>1285</v>
      </c>
      <c r="E7" t="s">
        <v>15</v>
      </c>
      <c r="F7" s="3">
        <v>0</v>
      </c>
      <c r="G7" t="s">
        <v>23</v>
      </c>
    </row>
    <row r="8" spans="1:7">
      <c r="A8" s="1">
        <v>45842</v>
      </c>
      <c r="B8" t="s">
        <v>24</v>
      </c>
      <c r="C8" t="s">
        <v>22</v>
      </c>
      <c r="D8" s="2">
        <v>1560</v>
      </c>
      <c r="E8" t="s">
        <v>15</v>
      </c>
      <c r="F8" s="3">
        <v>0</v>
      </c>
      <c r="G8" t="s">
        <v>25</v>
      </c>
    </row>
    <row r="9" spans="1:7">
      <c r="A9" s="1">
        <v>45878</v>
      </c>
      <c r="B9" t="s">
        <v>26</v>
      </c>
      <c r="C9" t="s">
        <v>22</v>
      </c>
      <c r="D9" s="2">
        <v>1215</v>
      </c>
      <c r="E9" t="s">
        <v>15</v>
      </c>
      <c r="F9" s="3">
        <v>0</v>
      </c>
      <c r="G9" t="s">
        <v>27</v>
      </c>
    </row>
    <row r="10" spans="1:7">
      <c r="A10" s="1">
        <v>45920</v>
      </c>
      <c r="B10" t="s">
        <v>28</v>
      </c>
      <c r="C10" t="s">
        <v>29</v>
      </c>
      <c r="D10" s="2">
        <v>760</v>
      </c>
      <c r="E10" t="s">
        <v>15</v>
      </c>
      <c r="F10" s="3">
        <v>0</v>
      </c>
      <c r="G10" t="s">
        <v>30</v>
      </c>
    </row>
    <row r="11" spans="1:7">
      <c r="A11" s="1">
        <v>45961</v>
      </c>
      <c r="B11" t="s">
        <v>31</v>
      </c>
      <c r="C11" t="s">
        <v>29</v>
      </c>
      <c r="D11" s="2">
        <v>1025</v>
      </c>
      <c r="E11" t="s">
        <v>15</v>
      </c>
      <c r="F11" s="3">
        <v>0</v>
      </c>
      <c r="G11" t="s">
        <v>32</v>
      </c>
    </row>
    <row r="12" spans="1:7">
      <c r="A12" s="1">
        <v>45972</v>
      </c>
      <c r="B12" t="s">
        <v>33</v>
      </c>
      <c r="C12" t="s">
        <v>29</v>
      </c>
      <c r="D12" s="2">
        <v>540</v>
      </c>
      <c r="E12" t="s">
        <v>9</v>
      </c>
      <c r="F12" s="3"/>
      <c r="G12" t="s">
        <v>34</v>
      </c>
    </row>
    <row r="13" spans="1:7">
      <c r="A13" s="1">
        <v>46019</v>
      </c>
      <c r="B13" t="s">
        <v>35</v>
      </c>
      <c r="C13" t="s">
        <v>8</v>
      </c>
      <c r="D13" s="2">
        <v>1180</v>
      </c>
      <c r="E13" t="s">
        <v>15</v>
      </c>
      <c r="F13" s="3">
        <v>0.4</v>
      </c>
      <c r="G13" t="s">
        <v>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4.25"/>
  <cols>
    <col min="1" max="1" width="14" customWidth="1"/>
    <col min="2" max="2" width="11" customWidth="1"/>
    <col min="3" max="3" width="16" customWidth="1"/>
    <col min="4" max="4" width="10" customWidth="1"/>
    <col min="5" max="7" width="18" customWidth="1"/>
    <col min="8" max="8" width="16" customWidth="1"/>
    <col min="9" max="9" width="14" customWidth="1"/>
    <col min="10" max="10" width="20" customWidth="1"/>
    <col min="11" max="11" width="18" customWidth="1"/>
    <col min="12" max="12" width="12" customWidth="1"/>
    <col min="14" max="14" width="28" customWidth="1"/>
    <col min="15" max="15" width="12" customWidth="1"/>
  </cols>
  <sheetData>
    <row r="1" spans="1:15" ht="45">
      <c r="A1" s="4" t="s">
        <v>0</v>
      </c>
      <c r="B1" s="4" t="s">
        <v>1</v>
      </c>
      <c r="C1" s="4" t="s">
        <v>2</v>
      </c>
      <c r="D1" s="4" t="s">
        <v>37</v>
      </c>
      <c r="E1" s="4" t="s">
        <v>3</v>
      </c>
      <c r="F1" s="4" t="s">
        <v>4</v>
      </c>
      <c r="G1" s="4" t="s">
        <v>38</v>
      </c>
      <c r="H1" s="4" t="s">
        <v>39</v>
      </c>
      <c r="I1" s="4" t="s">
        <v>5</v>
      </c>
      <c r="J1" s="4" t="s">
        <v>40</v>
      </c>
      <c r="K1" s="4" t="s">
        <v>41</v>
      </c>
      <c r="L1" s="4" t="s">
        <v>42</v>
      </c>
      <c r="N1" s="5" t="s">
        <v>43</v>
      </c>
      <c r="O1" s="5" t="s">
        <v>44</v>
      </c>
    </row>
    <row r="2" spans="1:15">
      <c r="A2" s="1">
        <v>45672</v>
      </c>
      <c r="B2" t="s">
        <v>7</v>
      </c>
      <c r="C2" t="s">
        <v>8</v>
      </c>
      <c r="D2" t="e">
        <f t="shared" ref="D2:D13" ca="1" si="0">_xludf.SWITCH(B2,"December","Winter","January","Winter","February","Winter","March","Spring","April","Spring","May","Spring","June","Summer","July","Summer","August","Summer","September","Fall","October","Fall","November","Fall","Check Month")</f>
        <v>#NAME?</v>
      </c>
      <c r="E2" s="2">
        <v>420</v>
      </c>
      <c r="F2" t="s">
        <v>9</v>
      </c>
      <c r="G2" t="str">
        <f t="shared" ref="G2:G13" si="1">IF(E2&gt;1000,"Busy","Not Busy")</f>
        <v>Not Busy</v>
      </c>
      <c r="H2" t="str">
        <f t="shared" ref="H2:H13" si="2">IF(F2=G2,"Correct","Needs Correction")</f>
        <v>Correct</v>
      </c>
      <c r="I2" s="3">
        <v>0.2</v>
      </c>
      <c r="J2" t="str">
        <f t="shared" ref="J2:J13" si="3">IF(ISBLANK(I2),"Missing precipitation value","Complete")</f>
        <v>Complete</v>
      </c>
      <c r="K2" t="e">
        <f t="shared" ref="K2:K13" ca="1" si="4">IF(C2=D2,"Season matches month","Season mismatch")</f>
        <v>#NAME?</v>
      </c>
      <c r="L2" t="e">
        <f t="shared" ref="L2:L13" ca="1" si="5">IF(AND(H2="Correct",J2="Complete",K2="Season matches month"),"Pass","Review")</f>
        <v>#NAME?</v>
      </c>
      <c r="N2" t="s">
        <v>45</v>
      </c>
      <c r="O2">
        <f>COUNTIF(H2:H13,"Needs Correction")</f>
        <v>1</v>
      </c>
    </row>
    <row r="3" spans="1:15">
      <c r="A3" s="1">
        <v>45705</v>
      </c>
      <c r="B3" t="s">
        <v>11</v>
      </c>
      <c r="C3" t="s">
        <v>8</v>
      </c>
      <c r="D3" t="e">
        <f t="shared" ca="1" si="0"/>
        <v>#NAME?</v>
      </c>
      <c r="E3" s="2">
        <v>680</v>
      </c>
      <c r="F3" t="s">
        <v>9</v>
      </c>
      <c r="G3" t="str">
        <f t="shared" si="1"/>
        <v>Not Busy</v>
      </c>
      <c r="H3" t="str">
        <f t="shared" si="2"/>
        <v>Correct</v>
      </c>
      <c r="I3" s="3">
        <v>0</v>
      </c>
      <c r="J3" t="str">
        <f t="shared" si="3"/>
        <v>Complete</v>
      </c>
      <c r="K3" t="e">
        <f t="shared" ca="1" si="4"/>
        <v>#NAME?</v>
      </c>
      <c r="L3" t="e">
        <f t="shared" ca="1" si="5"/>
        <v>#NAME?</v>
      </c>
      <c r="N3" t="s">
        <v>46</v>
      </c>
      <c r="O3">
        <f>COUNTIF(J2:J13,"Missing precipitation value")</f>
        <v>1</v>
      </c>
    </row>
    <row r="4" spans="1:15">
      <c r="A4" s="1">
        <v>45738</v>
      </c>
      <c r="B4" t="s">
        <v>13</v>
      </c>
      <c r="C4" t="s">
        <v>14</v>
      </c>
      <c r="D4" t="e">
        <f t="shared" ca="1" si="0"/>
        <v>#NAME?</v>
      </c>
      <c r="E4" s="2">
        <v>910</v>
      </c>
      <c r="F4" t="s">
        <v>15</v>
      </c>
      <c r="G4" t="str">
        <f t="shared" si="1"/>
        <v>Not Busy</v>
      </c>
      <c r="H4" t="str">
        <f t="shared" si="2"/>
        <v>Needs Correction</v>
      </c>
      <c r="I4" s="3">
        <v>0.1</v>
      </c>
      <c r="J4" t="str">
        <f t="shared" si="3"/>
        <v>Complete</v>
      </c>
      <c r="K4" t="e">
        <f t="shared" ca="1" si="4"/>
        <v>#NAME?</v>
      </c>
      <c r="L4" t="e">
        <f t="shared" ca="1" si="5"/>
        <v>#NAME?</v>
      </c>
      <c r="N4" t="s">
        <v>47</v>
      </c>
      <c r="O4">
        <f ca="1">COUNTIF(K2:K13,"Season mismatch")</f>
        <v>0</v>
      </c>
    </row>
    <row r="5" spans="1:15">
      <c r="A5" s="1">
        <v>45759</v>
      </c>
      <c r="B5" t="s">
        <v>17</v>
      </c>
      <c r="C5" t="s">
        <v>14</v>
      </c>
      <c r="D5" t="e">
        <f t="shared" ca="1" si="0"/>
        <v>#NAME?</v>
      </c>
      <c r="E5" s="2">
        <v>230</v>
      </c>
      <c r="F5" t="s">
        <v>9</v>
      </c>
      <c r="G5" t="str">
        <f t="shared" si="1"/>
        <v>Not Busy</v>
      </c>
      <c r="H5" t="str">
        <f t="shared" si="2"/>
        <v>Correct</v>
      </c>
      <c r="I5" s="3">
        <v>0</v>
      </c>
      <c r="J5" t="str">
        <f t="shared" si="3"/>
        <v>Complete</v>
      </c>
      <c r="K5" t="e">
        <f t="shared" ca="1" si="4"/>
        <v>#NAME?</v>
      </c>
      <c r="L5" t="e">
        <f t="shared" ca="1" si="5"/>
        <v>#NAME?</v>
      </c>
      <c r="N5" t="s">
        <v>48</v>
      </c>
      <c r="O5">
        <f ca="1">COUNTIF(L2:L13,"Pass")</f>
        <v>0</v>
      </c>
    </row>
    <row r="6" spans="1:15">
      <c r="A6" s="1">
        <v>45802</v>
      </c>
      <c r="B6" t="s">
        <v>19</v>
      </c>
      <c r="C6" t="s">
        <v>14</v>
      </c>
      <c r="D6" t="e">
        <f t="shared" ca="1" si="0"/>
        <v>#NAME?</v>
      </c>
      <c r="E6" s="2">
        <v>1140</v>
      </c>
      <c r="F6" t="s">
        <v>15</v>
      </c>
      <c r="G6" t="str">
        <f t="shared" si="1"/>
        <v>Busy</v>
      </c>
      <c r="H6" t="str">
        <f t="shared" si="2"/>
        <v>Correct</v>
      </c>
      <c r="I6" s="3">
        <v>0</v>
      </c>
      <c r="J6" t="str">
        <f t="shared" si="3"/>
        <v>Complete</v>
      </c>
      <c r="K6" t="e">
        <f t="shared" ca="1" si="4"/>
        <v>#NAME?</v>
      </c>
      <c r="L6" t="e">
        <f t="shared" ca="1" si="5"/>
        <v>#NAME?</v>
      </c>
    </row>
    <row r="7" spans="1:15">
      <c r="A7" s="1">
        <v>45822</v>
      </c>
      <c r="B7" t="s">
        <v>21</v>
      </c>
      <c r="C7" t="s">
        <v>22</v>
      </c>
      <c r="D7" t="e">
        <f t="shared" ca="1" si="0"/>
        <v>#NAME?</v>
      </c>
      <c r="E7" s="2">
        <v>1285</v>
      </c>
      <c r="F7" t="s">
        <v>15</v>
      </c>
      <c r="G7" t="str">
        <f t="shared" si="1"/>
        <v>Busy</v>
      </c>
      <c r="H7" t="str">
        <f t="shared" si="2"/>
        <v>Correct</v>
      </c>
      <c r="I7" s="3">
        <v>0</v>
      </c>
      <c r="J7" t="str">
        <f t="shared" si="3"/>
        <v>Complete</v>
      </c>
      <c r="K7" t="e">
        <f t="shared" ca="1" si="4"/>
        <v>#NAME?</v>
      </c>
      <c r="L7" t="e">
        <f t="shared" ca="1" si="5"/>
        <v>#NAME?</v>
      </c>
    </row>
    <row r="8" spans="1:15">
      <c r="A8" s="1">
        <v>45842</v>
      </c>
      <c r="B8" t="s">
        <v>24</v>
      </c>
      <c r="C8" t="s">
        <v>22</v>
      </c>
      <c r="D8" t="e">
        <f t="shared" ca="1" si="0"/>
        <v>#NAME?</v>
      </c>
      <c r="E8" s="2">
        <v>1560</v>
      </c>
      <c r="F8" t="s">
        <v>15</v>
      </c>
      <c r="G8" t="str">
        <f t="shared" si="1"/>
        <v>Busy</v>
      </c>
      <c r="H8" t="str">
        <f t="shared" si="2"/>
        <v>Correct</v>
      </c>
      <c r="I8" s="3">
        <v>0</v>
      </c>
      <c r="J8" t="str">
        <f t="shared" si="3"/>
        <v>Complete</v>
      </c>
      <c r="K8" t="e">
        <f t="shared" ca="1" si="4"/>
        <v>#NAME?</v>
      </c>
      <c r="L8" t="e">
        <f t="shared" ca="1" si="5"/>
        <v>#NAME?</v>
      </c>
    </row>
    <row r="9" spans="1:15">
      <c r="A9" s="1">
        <v>45878</v>
      </c>
      <c r="B9" t="s">
        <v>26</v>
      </c>
      <c r="C9" t="s">
        <v>22</v>
      </c>
      <c r="D9" t="e">
        <f t="shared" ca="1" si="0"/>
        <v>#NAME?</v>
      </c>
      <c r="E9" s="2">
        <v>1215</v>
      </c>
      <c r="F9" t="s">
        <v>15</v>
      </c>
      <c r="G9" t="str">
        <f t="shared" si="1"/>
        <v>Busy</v>
      </c>
      <c r="H9" t="str">
        <f t="shared" si="2"/>
        <v>Correct</v>
      </c>
      <c r="I9" s="3">
        <v>0</v>
      </c>
      <c r="J9" t="str">
        <f t="shared" si="3"/>
        <v>Complete</v>
      </c>
      <c r="K9" t="e">
        <f t="shared" ca="1" si="4"/>
        <v>#NAME?</v>
      </c>
      <c r="L9" t="e">
        <f t="shared" ca="1" si="5"/>
        <v>#NAME?</v>
      </c>
    </row>
    <row r="10" spans="1:15">
      <c r="A10" s="1">
        <v>45920</v>
      </c>
      <c r="B10" t="s">
        <v>28</v>
      </c>
      <c r="C10" t="s">
        <v>29</v>
      </c>
      <c r="D10" t="e">
        <f t="shared" ca="1" si="0"/>
        <v>#NAME?</v>
      </c>
      <c r="E10" s="2">
        <v>760</v>
      </c>
      <c r="F10" t="s">
        <v>9</v>
      </c>
      <c r="G10" t="str">
        <f t="shared" si="1"/>
        <v>Not Busy</v>
      </c>
      <c r="H10" t="str">
        <f t="shared" si="2"/>
        <v>Correct</v>
      </c>
      <c r="I10" s="3">
        <v>0</v>
      </c>
      <c r="J10" t="str">
        <f t="shared" si="3"/>
        <v>Complete</v>
      </c>
      <c r="K10" t="e">
        <f t="shared" ca="1" si="4"/>
        <v>#NAME?</v>
      </c>
      <c r="L10" t="e">
        <f t="shared" ca="1" si="5"/>
        <v>#NAME?</v>
      </c>
    </row>
    <row r="11" spans="1:15">
      <c r="A11" s="1">
        <v>45961</v>
      </c>
      <c r="B11" t="s">
        <v>31</v>
      </c>
      <c r="C11" t="s">
        <v>29</v>
      </c>
      <c r="D11" t="e">
        <f t="shared" ca="1" si="0"/>
        <v>#NAME?</v>
      </c>
      <c r="E11" s="2">
        <v>1025</v>
      </c>
      <c r="F11" t="s">
        <v>15</v>
      </c>
      <c r="G11" t="str">
        <f t="shared" si="1"/>
        <v>Busy</v>
      </c>
      <c r="H11" t="str">
        <f t="shared" si="2"/>
        <v>Correct</v>
      </c>
      <c r="I11" s="3">
        <v>0</v>
      </c>
      <c r="J11" t="str">
        <f t="shared" si="3"/>
        <v>Complete</v>
      </c>
      <c r="K11" t="e">
        <f t="shared" ca="1" si="4"/>
        <v>#NAME?</v>
      </c>
      <c r="L11" t="e">
        <f t="shared" ca="1" si="5"/>
        <v>#NAME?</v>
      </c>
    </row>
    <row r="12" spans="1:15">
      <c r="A12" s="1">
        <v>45972</v>
      </c>
      <c r="B12" t="s">
        <v>33</v>
      </c>
      <c r="C12" t="s">
        <v>29</v>
      </c>
      <c r="D12" t="e">
        <f t="shared" ca="1" si="0"/>
        <v>#NAME?</v>
      </c>
      <c r="E12" s="2">
        <v>540</v>
      </c>
      <c r="F12" t="s">
        <v>9</v>
      </c>
      <c r="G12" t="str">
        <f t="shared" si="1"/>
        <v>Not Busy</v>
      </c>
      <c r="H12" t="str">
        <f t="shared" si="2"/>
        <v>Correct</v>
      </c>
      <c r="I12" s="3"/>
      <c r="J12" t="str">
        <f t="shared" si="3"/>
        <v>Missing precipitation value</v>
      </c>
      <c r="K12" t="e">
        <f t="shared" ca="1" si="4"/>
        <v>#NAME?</v>
      </c>
      <c r="L12" t="e">
        <f t="shared" ca="1" si="5"/>
        <v>#NAME?</v>
      </c>
    </row>
    <row r="13" spans="1:15">
      <c r="A13" s="1">
        <v>46019</v>
      </c>
      <c r="B13" t="s">
        <v>35</v>
      </c>
      <c r="C13" t="s">
        <v>8</v>
      </c>
      <c r="D13" t="e">
        <f t="shared" ca="1" si="0"/>
        <v>#NAME?</v>
      </c>
      <c r="E13" s="2">
        <v>1180</v>
      </c>
      <c r="F13" t="s">
        <v>15</v>
      </c>
      <c r="G13" t="str">
        <f t="shared" si="1"/>
        <v>Busy</v>
      </c>
      <c r="H13" t="str">
        <f t="shared" si="2"/>
        <v>Correct</v>
      </c>
      <c r="I13" s="3">
        <v>0.4</v>
      </c>
      <c r="J13" t="str">
        <f t="shared" si="3"/>
        <v>Complete</v>
      </c>
      <c r="K13" t="e">
        <f t="shared" ca="1" si="4"/>
        <v>#NAME?</v>
      </c>
      <c r="L13" t="e">
        <f t="shared" ca="1" si="5"/>
        <v>#NAME?</v>
      </c>
    </row>
  </sheetData>
  <conditionalFormatting sqref="H2:H13">
    <cfRule type="expression" dxfId="4" priority="1">
      <formula>H2="Needs Correction"</formula>
    </cfRule>
  </conditionalFormatting>
  <conditionalFormatting sqref="J2:J13">
    <cfRule type="expression" dxfId="3" priority="2">
      <formula>J2&lt;&gt;"Complete"</formula>
    </cfRule>
  </conditionalFormatting>
  <conditionalFormatting sqref="K2:K13">
    <cfRule type="expression" dxfId="2" priority="3">
      <formula>K2="Season mismatch"</formula>
    </cfRule>
  </conditionalFormatting>
  <conditionalFormatting sqref="L2:L13">
    <cfRule type="expression" dxfId="1" priority="4">
      <formula>L2="Pass"</formula>
    </cfRule>
    <cfRule type="expression" dxfId="0" priority="5">
      <formula>L2="Review"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25"/>
  <cols>
    <col min="1" max="1" width="55" customWidth="1"/>
  </cols>
  <sheetData>
    <row r="1" spans="1:1" ht="20.25">
      <c r="A1" s="6" t="s">
        <v>49</v>
      </c>
    </row>
    <row r="3" spans="1:1" ht="28.5">
      <c r="A3" s="7" t="s">
        <v>50</v>
      </c>
    </row>
    <row r="4" spans="1:1" ht="28.5">
      <c r="A4" s="7" t="s">
        <v>51</v>
      </c>
    </row>
    <row r="5" spans="1:1">
      <c r="A5" s="7" t="s">
        <v>52</v>
      </c>
    </row>
    <row r="6" spans="1:1" ht="28.5">
      <c r="A6" s="7" t="s">
        <v>53</v>
      </c>
    </row>
    <row r="8" spans="1:1">
      <c r="A8" s="7" t="s">
        <v>54</v>
      </c>
    </row>
    <row r="9" spans="1:1">
      <c r="A9" s="7" t="s">
        <v>55</v>
      </c>
    </row>
    <row r="10" spans="1:1">
      <c r="A10" s="7" t="s">
        <v>56</v>
      </c>
    </row>
    <row r="11" spans="1:1">
      <c r="A11" s="7" t="s">
        <v>57</v>
      </c>
    </row>
    <row r="12" spans="1:1">
      <c r="A12" s="7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62AAE145-3043-4963-9B57-07894653DFC7}"/>
</file>

<file path=customXml/itemProps2.xml><?xml version="1.0" encoding="utf-8"?>
<ds:datastoreItem xmlns:ds="http://schemas.openxmlformats.org/officeDocument/2006/customXml" ds:itemID="{A48623C1-35F3-4072-AAC7-59EE1BB9924E}"/>
</file>

<file path=customXml/itemProps3.xml><?xml version="1.0" encoding="utf-8"?>
<ds:datastoreItem xmlns:ds="http://schemas.openxmlformats.org/officeDocument/2006/customXml" ds:itemID="{C986B7A6-B2CE-4511-95E0-1F7078EAE01D}"/>
</file>

<file path=docMetadata/LabelInfo.xml><?xml version="1.0" encoding="utf-8"?>
<clbl:labelList xmlns:clbl="http://schemas.microsoft.com/office/2020/mipLabelMetadata">
  <clbl:label id="{be40a852-be98-4341-a282-4f67857dc44b}" enabled="1" method="Standard" siteId="{7012c3fd-fc98-4498-99bd-f9d61de23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Checkpoints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2026-04-14T00:41:33Z</dcterms:created>
  <dcterms:modified xsi:type="dcterms:W3CDTF">2026-04-14T17:17:33Z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