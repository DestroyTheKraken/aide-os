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asonManibog\Desktop\ITS-AI 2026\"/>
    </mc:Choice>
  </mc:AlternateContent>
  <xr:revisionPtr revIDLastSave="0" documentId="13_ncr:1_{2523C470-15D6-4845-B60F-09AAF859FF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ttendance_Staff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" l="1"/>
  <c r="C22" i="1"/>
  <c r="C23" i="1"/>
  <c r="C20" i="1"/>
  <c r="D23" i="1"/>
  <c r="E23" i="1" s="1"/>
  <c r="B23" i="1"/>
  <c r="D22" i="1"/>
  <c r="E22" i="1" s="1"/>
  <c r="B22" i="1"/>
  <c r="D21" i="1"/>
  <c r="E21" i="1" s="1"/>
  <c r="B21" i="1"/>
  <c r="D20" i="1"/>
  <c r="E20" i="1" s="1"/>
  <c r="B20" i="1"/>
</calcChain>
</file>

<file path=xl/sharedStrings.xml><?xml version="1.0" encoding="utf-8"?>
<sst xmlns="http://schemas.openxmlformats.org/spreadsheetml/2006/main" count="63" uniqueCount="36">
  <si>
    <t>Recreational Area Historical Attendance &amp; Staffing by Category</t>
  </si>
  <si>
    <t>Historical Staffing by Category</t>
  </si>
  <si>
    <t>Date</t>
  </si>
  <si>
    <t>Season</t>
  </si>
  <si>
    <t>General Admission</t>
  </si>
  <si>
    <t>Aquatics</t>
  </si>
  <si>
    <t>Events</t>
  </si>
  <si>
    <t>Food Service</t>
  </si>
  <si>
    <t>Maintenance</t>
  </si>
  <si>
    <t>Total Attendance</t>
  </si>
  <si>
    <t>Lifeguards</t>
  </si>
  <si>
    <t>Guest Services</t>
  </si>
  <si>
    <t>Event Staff</t>
  </si>
  <si>
    <t>Food Staff</t>
  </si>
  <si>
    <t>Total Staff</t>
  </si>
  <si>
    <t>2025-01-15</t>
  </si>
  <si>
    <t>Winter</t>
  </si>
  <si>
    <t>2025-02-15</t>
  </si>
  <si>
    <t>2025-03-15</t>
  </si>
  <si>
    <t>Spring</t>
  </si>
  <si>
    <t>2025-04-15</t>
  </si>
  <si>
    <t>2025-05-15</t>
  </si>
  <si>
    <t>2025-06-15</t>
  </si>
  <si>
    <t>Summer</t>
  </si>
  <si>
    <t>2025-07-15</t>
  </si>
  <si>
    <t>2025-08-15</t>
  </si>
  <si>
    <t>2025-09-15</t>
  </si>
  <si>
    <t>Fall</t>
  </si>
  <si>
    <t>2025-10-15</t>
  </si>
  <si>
    <t>2025-11-15</t>
  </si>
  <si>
    <t>2025-12-15</t>
  </si>
  <si>
    <t>Season Summary</t>
  </si>
  <si>
    <t>Avg Attendance</t>
  </si>
  <si>
    <t>Peak Attendance</t>
  </si>
  <si>
    <t>Avg Total Staff</t>
  </si>
  <si>
    <t>Staff per 100 Visitors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</si>
</sst>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4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3"/>
      <color rgb="FFFFFFFF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48235"/>
      </patternFill>
    </fill>
    <fill>
      <patternFill patternType="solid">
        <fgColor rgb="FFE2F0D9"/>
      </patternFill>
    </fill>
    <fill>
      <patternFill patternType="solid">
        <fgColor rgb="FFF4B183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0" xfId="0" applyFont="1" applyFill="1" applyAlignment="1">
      <alignment horizontal="center"/>
    </xf>
    <xf numFmtId="164" fontId="0" fillId="0" borderId="0" xfId="0" applyNumberFormat="1"/>
    <xf numFmtId="1" fontId="0" fillId="0" borderId="0" xfId="0" applyNumberFormat="1"/>
    <xf numFmtId="0" fontId="2" fillId="5" borderId="0" xfId="0" applyFont="1" applyFill="1" applyAlignment="1">
      <alignment horizontal="center"/>
    </xf>
    <xf numFmtId="0" fontId="2" fillId="7" borderId="0" xfId="0" applyFont="1" applyFill="1"/>
    <xf numFmtId="165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4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Seasonal Attendance Trend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Season</c:v>
          </c:tx>
          <c:cat>
            <c:strRef>
              <c:f>Attendance_Staffing!$A$4:$A$15</c:f>
              <c:strCache>
                <c:ptCount val="12"/>
                <c:pt idx="0">
                  <c:v>2025-01-15</c:v>
                </c:pt>
                <c:pt idx="1">
                  <c:v>2025-02-15</c:v>
                </c:pt>
                <c:pt idx="2">
                  <c:v>2025-03-15</c:v>
                </c:pt>
                <c:pt idx="3">
                  <c:v>2025-04-15</c:v>
                </c:pt>
                <c:pt idx="4">
                  <c:v>2025-05-15</c:v>
                </c:pt>
                <c:pt idx="5">
                  <c:v>2025-06-15</c:v>
                </c:pt>
                <c:pt idx="6">
                  <c:v>2025-07-15</c:v>
                </c:pt>
                <c:pt idx="7">
                  <c:v>2025-08-15</c:v>
                </c:pt>
                <c:pt idx="8">
                  <c:v>2025-09-15</c:v>
                </c:pt>
                <c:pt idx="9">
                  <c:v>2025-10-15</c:v>
                </c:pt>
                <c:pt idx="10">
                  <c:v>2025-11-15</c:v>
                </c:pt>
                <c:pt idx="11">
                  <c:v>2025-12-15</c:v>
                </c:pt>
              </c:strCache>
            </c:strRef>
          </c:cat>
          <c:val>
            <c:numRef>
              <c:f>Attendance_Staffing!$B$4:$B$15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1B-4E57-AE42-EFBC725791F7}"/>
            </c:ext>
          </c:extLst>
        </c:ser>
        <c:ser>
          <c:idx val="1"/>
          <c:order val="1"/>
          <c:tx>
            <c:v>General Admission</c:v>
          </c:tx>
          <c:cat>
            <c:strRef>
              <c:f>Attendance_Staffing!$A$4:$A$15</c:f>
              <c:strCache>
                <c:ptCount val="12"/>
                <c:pt idx="0">
                  <c:v>2025-01-15</c:v>
                </c:pt>
                <c:pt idx="1">
                  <c:v>2025-02-15</c:v>
                </c:pt>
                <c:pt idx="2">
                  <c:v>2025-03-15</c:v>
                </c:pt>
                <c:pt idx="3">
                  <c:v>2025-04-15</c:v>
                </c:pt>
                <c:pt idx="4">
                  <c:v>2025-05-15</c:v>
                </c:pt>
                <c:pt idx="5">
                  <c:v>2025-06-15</c:v>
                </c:pt>
                <c:pt idx="6">
                  <c:v>2025-07-15</c:v>
                </c:pt>
                <c:pt idx="7">
                  <c:v>2025-08-15</c:v>
                </c:pt>
                <c:pt idx="8">
                  <c:v>2025-09-15</c:v>
                </c:pt>
                <c:pt idx="9">
                  <c:v>2025-10-15</c:v>
                </c:pt>
                <c:pt idx="10">
                  <c:v>2025-11-15</c:v>
                </c:pt>
                <c:pt idx="11">
                  <c:v>2025-12-15</c:v>
                </c:pt>
              </c:strCache>
            </c:strRef>
          </c:cat>
          <c:val>
            <c:numRef>
              <c:f>Attendance_Staffing!$C$4:$C$15</c:f>
              <c:numCache>
                <c:formatCode>0</c:formatCode>
                <c:ptCount val="12"/>
                <c:pt idx="0">
                  <c:v>95</c:v>
                </c:pt>
                <c:pt idx="1">
                  <c:v>110</c:v>
                </c:pt>
                <c:pt idx="2">
                  <c:v>150</c:v>
                </c:pt>
                <c:pt idx="3">
                  <c:v>210</c:v>
                </c:pt>
                <c:pt idx="4">
                  <c:v>260</c:v>
                </c:pt>
                <c:pt idx="5">
                  <c:v>340</c:v>
                </c:pt>
                <c:pt idx="6">
                  <c:v>390</c:v>
                </c:pt>
                <c:pt idx="7">
                  <c:v>375</c:v>
                </c:pt>
                <c:pt idx="8">
                  <c:v>280</c:v>
                </c:pt>
                <c:pt idx="9">
                  <c:v>230</c:v>
                </c:pt>
                <c:pt idx="10">
                  <c:v>170</c:v>
                </c:pt>
                <c:pt idx="11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1B-4E57-AE42-EFBC725791F7}"/>
            </c:ext>
          </c:extLst>
        </c:ser>
        <c:ser>
          <c:idx val="2"/>
          <c:order val="2"/>
          <c:tx>
            <c:v>Aquatics</c:v>
          </c:tx>
          <c:cat>
            <c:strRef>
              <c:f>Attendance_Staffing!$A$4:$A$15</c:f>
              <c:strCache>
                <c:ptCount val="12"/>
                <c:pt idx="0">
                  <c:v>2025-01-15</c:v>
                </c:pt>
                <c:pt idx="1">
                  <c:v>2025-02-15</c:v>
                </c:pt>
                <c:pt idx="2">
                  <c:v>2025-03-15</c:v>
                </c:pt>
                <c:pt idx="3">
                  <c:v>2025-04-15</c:v>
                </c:pt>
                <c:pt idx="4">
                  <c:v>2025-05-15</c:v>
                </c:pt>
                <c:pt idx="5">
                  <c:v>2025-06-15</c:v>
                </c:pt>
                <c:pt idx="6">
                  <c:v>2025-07-15</c:v>
                </c:pt>
                <c:pt idx="7">
                  <c:v>2025-08-15</c:v>
                </c:pt>
                <c:pt idx="8">
                  <c:v>2025-09-15</c:v>
                </c:pt>
                <c:pt idx="9">
                  <c:v>2025-10-15</c:v>
                </c:pt>
                <c:pt idx="10">
                  <c:v>2025-11-15</c:v>
                </c:pt>
                <c:pt idx="11">
                  <c:v>2025-12-15</c:v>
                </c:pt>
              </c:strCache>
            </c:strRef>
          </c:cat>
          <c:val>
            <c:numRef>
              <c:f>Attendance_Staffing!$D$4:$D$15</c:f>
              <c:numCache>
                <c:formatCode>0</c:formatCode>
                <c:ptCount val="12"/>
                <c:pt idx="0">
                  <c:v>18</c:v>
                </c:pt>
                <c:pt idx="1">
                  <c:v>20</c:v>
                </c:pt>
                <c:pt idx="2">
                  <c:v>24</c:v>
                </c:pt>
                <c:pt idx="3">
                  <c:v>35</c:v>
                </c:pt>
                <c:pt idx="4">
                  <c:v>48</c:v>
                </c:pt>
                <c:pt idx="5">
                  <c:v>72</c:v>
                </c:pt>
                <c:pt idx="6">
                  <c:v>88</c:v>
                </c:pt>
                <c:pt idx="7">
                  <c:v>82</c:v>
                </c:pt>
                <c:pt idx="8">
                  <c:v>50</c:v>
                </c:pt>
                <c:pt idx="9">
                  <c:v>32</c:v>
                </c:pt>
                <c:pt idx="10">
                  <c:v>20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1B-4E57-AE42-EFBC725791F7}"/>
            </c:ext>
          </c:extLst>
        </c:ser>
        <c:ser>
          <c:idx val="3"/>
          <c:order val="3"/>
          <c:tx>
            <c:v>Events</c:v>
          </c:tx>
          <c:cat>
            <c:strRef>
              <c:f>Attendance_Staffing!$A$4:$A$15</c:f>
              <c:strCache>
                <c:ptCount val="12"/>
                <c:pt idx="0">
                  <c:v>2025-01-15</c:v>
                </c:pt>
                <c:pt idx="1">
                  <c:v>2025-02-15</c:v>
                </c:pt>
                <c:pt idx="2">
                  <c:v>2025-03-15</c:v>
                </c:pt>
                <c:pt idx="3">
                  <c:v>2025-04-15</c:v>
                </c:pt>
                <c:pt idx="4">
                  <c:v>2025-05-15</c:v>
                </c:pt>
                <c:pt idx="5">
                  <c:v>2025-06-15</c:v>
                </c:pt>
                <c:pt idx="6">
                  <c:v>2025-07-15</c:v>
                </c:pt>
                <c:pt idx="7">
                  <c:v>2025-08-15</c:v>
                </c:pt>
                <c:pt idx="8">
                  <c:v>2025-09-15</c:v>
                </c:pt>
                <c:pt idx="9">
                  <c:v>2025-10-15</c:v>
                </c:pt>
                <c:pt idx="10">
                  <c:v>2025-11-15</c:v>
                </c:pt>
                <c:pt idx="11">
                  <c:v>2025-12-15</c:v>
                </c:pt>
              </c:strCache>
            </c:strRef>
          </c:cat>
          <c:val>
            <c:numRef>
              <c:f>Attendance_Staffing!$E$4:$E$15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55</c:v>
                </c:pt>
                <c:pt idx="6">
                  <c:v>70</c:v>
                </c:pt>
                <c:pt idx="7">
                  <c:v>68</c:v>
                </c:pt>
                <c:pt idx="8">
                  <c:v>42</c:v>
                </c:pt>
                <c:pt idx="9">
                  <c:v>80</c:v>
                </c:pt>
                <c:pt idx="10">
                  <c:v>45</c:v>
                </c:pt>
                <c:pt idx="11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91B-4E57-AE42-EFBC725791F7}"/>
            </c:ext>
          </c:extLst>
        </c:ser>
        <c:ser>
          <c:idx val="4"/>
          <c:order val="4"/>
          <c:tx>
            <c:v>Food Service</c:v>
          </c:tx>
          <c:cat>
            <c:strRef>
              <c:f>Attendance_Staffing!$A$4:$A$15</c:f>
              <c:strCache>
                <c:ptCount val="12"/>
                <c:pt idx="0">
                  <c:v>2025-01-15</c:v>
                </c:pt>
                <c:pt idx="1">
                  <c:v>2025-02-15</c:v>
                </c:pt>
                <c:pt idx="2">
                  <c:v>2025-03-15</c:v>
                </c:pt>
                <c:pt idx="3">
                  <c:v>2025-04-15</c:v>
                </c:pt>
                <c:pt idx="4">
                  <c:v>2025-05-15</c:v>
                </c:pt>
                <c:pt idx="5">
                  <c:v>2025-06-15</c:v>
                </c:pt>
                <c:pt idx="6">
                  <c:v>2025-07-15</c:v>
                </c:pt>
                <c:pt idx="7">
                  <c:v>2025-08-15</c:v>
                </c:pt>
                <c:pt idx="8">
                  <c:v>2025-09-15</c:v>
                </c:pt>
                <c:pt idx="9">
                  <c:v>2025-10-15</c:v>
                </c:pt>
                <c:pt idx="10">
                  <c:v>2025-11-15</c:v>
                </c:pt>
                <c:pt idx="11">
                  <c:v>2025-12-15</c:v>
                </c:pt>
              </c:strCache>
            </c:strRef>
          </c:cat>
          <c:val>
            <c:numRef>
              <c:f>Attendance_Staffing!$F$4:$F$15</c:f>
              <c:numCache>
                <c:formatCode>0</c:formatCode>
                <c:ptCount val="12"/>
                <c:pt idx="0">
                  <c:v>12</c:v>
                </c:pt>
                <c:pt idx="1">
                  <c:v>13</c:v>
                </c:pt>
                <c:pt idx="2">
                  <c:v>15</c:v>
                </c:pt>
                <c:pt idx="3">
                  <c:v>18</c:v>
                </c:pt>
                <c:pt idx="4">
                  <c:v>22</c:v>
                </c:pt>
                <c:pt idx="5">
                  <c:v>28</c:v>
                </c:pt>
                <c:pt idx="6">
                  <c:v>31</c:v>
                </c:pt>
                <c:pt idx="7">
                  <c:v>30</c:v>
                </c:pt>
                <c:pt idx="8">
                  <c:v>24</c:v>
                </c:pt>
                <c:pt idx="9">
                  <c:v>21</c:v>
                </c:pt>
                <c:pt idx="10">
                  <c:v>18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91B-4E57-AE42-EFBC725791F7}"/>
            </c:ext>
          </c:extLst>
        </c:ser>
        <c:ser>
          <c:idx val="5"/>
          <c:order val="5"/>
          <c:tx>
            <c:v>Maintenance</c:v>
          </c:tx>
          <c:cat>
            <c:strRef>
              <c:f>Attendance_Staffing!$A$4:$A$15</c:f>
              <c:strCache>
                <c:ptCount val="12"/>
                <c:pt idx="0">
                  <c:v>2025-01-15</c:v>
                </c:pt>
                <c:pt idx="1">
                  <c:v>2025-02-15</c:v>
                </c:pt>
                <c:pt idx="2">
                  <c:v>2025-03-15</c:v>
                </c:pt>
                <c:pt idx="3">
                  <c:v>2025-04-15</c:v>
                </c:pt>
                <c:pt idx="4">
                  <c:v>2025-05-15</c:v>
                </c:pt>
                <c:pt idx="5">
                  <c:v>2025-06-15</c:v>
                </c:pt>
                <c:pt idx="6">
                  <c:v>2025-07-15</c:v>
                </c:pt>
                <c:pt idx="7">
                  <c:v>2025-08-15</c:v>
                </c:pt>
                <c:pt idx="8">
                  <c:v>2025-09-15</c:v>
                </c:pt>
                <c:pt idx="9">
                  <c:v>2025-10-15</c:v>
                </c:pt>
                <c:pt idx="10">
                  <c:v>2025-11-15</c:v>
                </c:pt>
                <c:pt idx="11">
                  <c:v>2025-12-15</c:v>
                </c:pt>
              </c:strCache>
            </c:strRef>
          </c:cat>
          <c:val>
            <c:numRef>
              <c:f>Attendance_Staffing!$G$4:$G$15</c:f>
              <c:numCache>
                <c:formatCode>0</c:formatCode>
                <c:ptCount val="12"/>
                <c:pt idx="0">
                  <c:v>8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13</c:v>
                </c:pt>
                <c:pt idx="8">
                  <c:v>11</c:v>
                </c:pt>
                <c:pt idx="9">
                  <c:v>10</c:v>
                </c:pt>
                <c:pt idx="10">
                  <c:v>9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91B-4E57-AE42-EFBC725791F7}"/>
            </c:ext>
          </c:extLst>
        </c:ser>
        <c:ser>
          <c:idx val="6"/>
          <c:order val="6"/>
          <c:tx>
            <c:v>Total Attendance</c:v>
          </c:tx>
          <c:cat>
            <c:strRef>
              <c:f>Attendance_Staffing!$A$4:$A$15</c:f>
              <c:strCache>
                <c:ptCount val="12"/>
                <c:pt idx="0">
                  <c:v>2025-01-15</c:v>
                </c:pt>
                <c:pt idx="1">
                  <c:v>2025-02-15</c:v>
                </c:pt>
                <c:pt idx="2">
                  <c:v>2025-03-15</c:v>
                </c:pt>
                <c:pt idx="3">
                  <c:v>2025-04-15</c:v>
                </c:pt>
                <c:pt idx="4">
                  <c:v>2025-05-15</c:v>
                </c:pt>
                <c:pt idx="5">
                  <c:v>2025-06-15</c:v>
                </c:pt>
                <c:pt idx="6">
                  <c:v>2025-07-15</c:v>
                </c:pt>
                <c:pt idx="7">
                  <c:v>2025-08-15</c:v>
                </c:pt>
                <c:pt idx="8">
                  <c:v>2025-09-15</c:v>
                </c:pt>
                <c:pt idx="9">
                  <c:v>2025-10-15</c:v>
                </c:pt>
                <c:pt idx="10">
                  <c:v>2025-11-15</c:v>
                </c:pt>
                <c:pt idx="11">
                  <c:v>2025-12-15</c:v>
                </c:pt>
              </c:strCache>
            </c:strRef>
          </c:cat>
          <c:val>
            <c:numRef>
              <c:f>Attendance_Staffing!$H$4:$H$15</c:f>
              <c:numCache>
                <c:formatCode>0</c:formatCode>
                <c:ptCount val="12"/>
                <c:pt idx="0">
                  <c:v>133</c:v>
                </c:pt>
                <c:pt idx="1">
                  <c:v>151</c:v>
                </c:pt>
                <c:pt idx="2">
                  <c:v>218</c:v>
                </c:pt>
                <c:pt idx="3">
                  <c:v>303</c:v>
                </c:pt>
                <c:pt idx="4">
                  <c:v>381</c:v>
                </c:pt>
                <c:pt idx="5">
                  <c:v>507</c:v>
                </c:pt>
                <c:pt idx="6">
                  <c:v>592</c:v>
                </c:pt>
                <c:pt idx="7">
                  <c:v>568</c:v>
                </c:pt>
                <c:pt idx="8">
                  <c:v>407</c:v>
                </c:pt>
                <c:pt idx="9">
                  <c:v>373</c:v>
                </c:pt>
                <c:pt idx="10">
                  <c:v>262</c:v>
                </c:pt>
                <c:pt idx="11">
                  <c:v>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91B-4E57-AE42-EFBC72579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Average Attendance by Season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Avg Attendance</c:v>
          </c:tx>
          <c:invertIfNegative val="1"/>
          <c:cat>
            <c:strRef>
              <c:f>Attendance_Staffing!$A$20:$A$23</c:f>
              <c:strCache>
                <c:ptCount val="4"/>
                <c:pt idx="0">
                  <c:v>Winter</c:v>
                </c:pt>
                <c:pt idx="1">
                  <c:v>Spring</c:v>
                </c:pt>
                <c:pt idx="2">
                  <c:v>Summer</c:v>
                </c:pt>
                <c:pt idx="3">
                  <c:v>Fall</c:v>
                </c:pt>
              </c:strCache>
            </c:strRef>
          </c:cat>
          <c:val>
            <c:numRef>
              <c:f>Attendance_Staffing!$B$20:$B$23</c:f>
              <c:numCache>
                <c:formatCode>0.0</c:formatCode>
                <c:ptCount val="4"/>
                <c:pt idx="0">
                  <c:v>161.66666666666666</c:v>
                </c:pt>
                <c:pt idx="1">
                  <c:v>300.66666666666669</c:v>
                </c:pt>
                <c:pt idx="2">
                  <c:v>555.66666666666663</c:v>
                </c:pt>
                <c:pt idx="3">
                  <c:v>347.33333333333331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D0-4340-92ED-08E5A35AB0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1</xdr:row>
      <xdr:rowOff>0</xdr:rowOff>
    </xdr:from>
    <xdr:to>
      <xdr:col>26</xdr:col>
      <xdr:colOff>0</xdr:colOff>
      <xdr:row>16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26</xdr:col>
      <xdr:colOff>0</xdr:colOff>
      <xdr:row>32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"/>
  <sheetViews>
    <sheetView tabSelected="1" workbookViewId="0">
      <selection activeCell="D25" sqref="D25"/>
    </sheetView>
  </sheetViews>
  <sheetFormatPr defaultRowHeight="14.25"/>
  <cols>
    <col min="1" max="8" width="14" customWidth="1"/>
    <col min="10" max="10" width="12" customWidth="1"/>
    <col min="11" max="16" width="13" customWidth="1"/>
  </cols>
  <sheetData>
    <row r="1" spans="1:16" ht="21.95" customHeight="1">
      <c r="A1" s="7" t="s">
        <v>0</v>
      </c>
      <c r="B1" s="8"/>
      <c r="C1" s="8"/>
      <c r="D1" s="8"/>
      <c r="E1" s="8"/>
      <c r="F1" s="8"/>
      <c r="G1" s="8"/>
      <c r="H1" s="8"/>
      <c r="J1" s="9" t="s">
        <v>1</v>
      </c>
      <c r="K1" s="8"/>
      <c r="L1" s="8"/>
      <c r="M1" s="8"/>
      <c r="N1" s="8"/>
      <c r="O1" s="8"/>
    </row>
    <row r="3" spans="1:16" ht="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J3" s="4" t="s">
        <v>2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8</v>
      </c>
      <c r="P3" s="4" t="s">
        <v>14</v>
      </c>
    </row>
    <row r="4" spans="1:16">
      <c r="A4" s="2" t="s">
        <v>15</v>
      </c>
      <c r="B4" t="s">
        <v>16</v>
      </c>
      <c r="C4" s="3">
        <v>95</v>
      </c>
      <c r="D4" s="3">
        <v>18</v>
      </c>
      <c r="E4" s="3">
        <v>0</v>
      </c>
      <c r="F4" s="3">
        <v>12</v>
      </c>
      <c r="G4" s="3">
        <v>8</v>
      </c>
      <c r="H4" s="3">
        <v>133</v>
      </c>
      <c r="J4" s="2" t="s">
        <v>15</v>
      </c>
      <c r="K4">
        <v>2</v>
      </c>
      <c r="L4">
        <v>3</v>
      </c>
      <c r="M4">
        <v>0</v>
      </c>
      <c r="N4">
        <v>2</v>
      </c>
      <c r="O4">
        <v>2</v>
      </c>
      <c r="P4">
        <v>9</v>
      </c>
    </row>
    <row r="5" spans="1:16">
      <c r="A5" s="2" t="s">
        <v>17</v>
      </c>
      <c r="B5" t="s">
        <v>16</v>
      </c>
      <c r="C5" s="3">
        <v>110</v>
      </c>
      <c r="D5" s="3">
        <v>20</v>
      </c>
      <c r="E5" s="3">
        <v>0</v>
      </c>
      <c r="F5" s="3">
        <v>13</v>
      </c>
      <c r="G5" s="3">
        <v>8</v>
      </c>
      <c r="H5" s="3">
        <v>151</v>
      </c>
      <c r="J5" s="2" t="s">
        <v>17</v>
      </c>
      <c r="K5">
        <v>2</v>
      </c>
      <c r="L5">
        <v>3</v>
      </c>
      <c r="M5">
        <v>0</v>
      </c>
      <c r="N5">
        <v>2</v>
      </c>
      <c r="O5">
        <v>2</v>
      </c>
      <c r="P5">
        <v>9</v>
      </c>
    </row>
    <row r="6" spans="1:16">
      <c r="A6" s="2" t="s">
        <v>18</v>
      </c>
      <c r="B6" t="s">
        <v>19</v>
      </c>
      <c r="C6" s="3">
        <v>150</v>
      </c>
      <c r="D6" s="3">
        <v>24</v>
      </c>
      <c r="E6" s="3">
        <v>20</v>
      </c>
      <c r="F6" s="3">
        <v>15</v>
      </c>
      <c r="G6" s="3">
        <v>9</v>
      </c>
      <c r="H6" s="3">
        <v>218</v>
      </c>
      <c r="J6" s="2" t="s">
        <v>18</v>
      </c>
      <c r="K6">
        <v>3</v>
      </c>
      <c r="L6">
        <v>4</v>
      </c>
      <c r="M6">
        <v>1</v>
      </c>
      <c r="N6">
        <v>2</v>
      </c>
      <c r="O6">
        <v>2</v>
      </c>
      <c r="P6">
        <v>12</v>
      </c>
    </row>
    <row r="7" spans="1:16">
      <c r="A7" s="2" t="s">
        <v>20</v>
      </c>
      <c r="B7" t="s">
        <v>19</v>
      </c>
      <c r="C7" s="3">
        <v>210</v>
      </c>
      <c r="D7" s="3">
        <v>35</v>
      </c>
      <c r="E7" s="3">
        <v>30</v>
      </c>
      <c r="F7" s="3">
        <v>18</v>
      </c>
      <c r="G7" s="3">
        <v>10</v>
      </c>
      <c r="H7" s="3">
        <v>303</v>
      </c>
      <c r="J7" s="2" t="s">
        <v>20</v>
      </c>
      <c r="K7">
        <v>4</v>
      </c>
      <c r="L7">
        <v>5</v>
      </c>
      <c r="M7">
        <v>2</v>
      </c>
      <c r="N7">
        <v>3</v>
      </c>
      <c r="O7">
        <v>2</v>
      </c>
      <c r="P7">
        <v>16</v>
      </c>
    </row>
    <row r="8" spans="1:16">
      <c r="A8" s="2" t="s">
        <v>21</v>
      </c>
      <c r="B8" t="s">
        <v>19</v>
      </c>
      <c r="C8" s="3">
        <v>260</v>
      </c>
      <c r="D8" s="3">
        <v>48</v>
      </c>
      <c r="E8" s="3">
        <v>40</v>
      </c>
      <c r="F8" s="3">
        <v>22</v>
      </c>
      <c r="G8" s="3">
        <v>11</v>
      </c>
      <c r="H8" s="3">
        <v>381</v>
      </c>
      <c r="J8" s="2" t="s">
        <v>21</v>
      </c>
      <c r="K8">
        <v>5</v>
      </c>
      <c r="L8">
        <v>6</v>
      </c>
      <c r="M8">
        <v>2</v>
      </c>
      <c r="N8">
        <v>3</v>
      </c>
      <c r="O8">
        <v>2</v>
      </c>
      <c r="P8">
        <v>18</v>
      </c>
    </row>
    <row r="9" spans="1:16">
      <c r="A9" s="2" t="s">
        <v>22</v>
      </c>
      <c r="B9" t="s">
        <v>23</v>
      </c>
      <c r="C9" s="3">
        <v>340</v>
      </c>
      <c r="D9" s="3">
        <v>72</v>
      </c>
      <c r="E9" s="3">
        <v>55</v>
      </c>
      <c r="F9" s="3">
        <v>28</v>
      </c>
      <c r="G9" s="3">
        <v>12</v>
      </c>
      <c r="H9" s="3">
        <v>507</v>
      </c>
      <c r="J9" s="2" t="s">
        <v>22</v>
      </c>
      <c r="K9">
        <v>7</v>
      </c>
      <c r="L9">
        <v>7</v>
      </c>
      <c r="M9">
        <v>3</v>
      </c>
      <c r="N9">
        <v>4</v>
      </c>
      <c r="O9">
        <v>3</v>
      </c>
      <c r="P9">
        <v>24</v>
      </c>
    </row>
    <row r="10" spans="1:16">
      <c r="A10" s="2" t="s">
        <v>24</v>
      </c>
      <c r="B10" t="s">
        <v>23</v>
      </c>
      <c r="C10" s="3">
        <v>390</v>
      </c>
      <c r="D10" s="3">
        <v>88</v>
      </c>
      <c r="E10" s="3">
        <v>70</v>
      </c>
      <c r="F10" s="3">
        <v>31</v>
      </c>
      <c r="G10" s="3">
        <v>13</v>
      </c>
      <c r="H10" s="3">
        <v>592</v>
      </c>
      <c r="J10" s="2" t="s">
        <v>24</v>
      </c>
      <c r="K10">
        <v>8</v>
      </c>
      <c r="L10">
        <v>8</v>
      </c>
      <c r="M10">
        <v>4</v>
      </c>
      <c r="N10">
        <v>4</v>
      </c>
      <c r="O10">
        <v>3</v>
      </c>
      <c r="P10">
        <v>27</v>
      </c>
    </row>
    <row r="11" spans="1:16">
      <c r="A11" s="2" t="s">
        <v>25</v>
      </c>
      <c r="B11" t="s">
        <v>23</v>
      </c>
      <c r="C11" s="3">
        <v>375</v>
      </c>
      <c r="D11" s="3">
        <v>82</v>
      </c>
      <c r="E11" s="3">
        <v>68</v>
      </c>
      <c r="F11" s="3">
        <v>30</v>
      </c>
      <c r="G11" s="3">
        <v>13</v>
      </c>
      <c r="H11" s="3">
        <v>568</v>
      </c>
      <c r="J11" s="2" t="s">
        <v>25</v>
      </c>
      <c r="K11">
        <v>8</v>
      </c>
      <c r="L11">
        <v>8</v>
      </c>
      <c r="M11">
        <v>4</v>
      </c>
      <c r="N11">
        <v>4</v>
      </c>
      <c r="O11">
        <v>3</v>
      </c>
      <c r="P11">
        <v>27</v>
      </c>
    </row>
    <row r="12" spans="1:16">
      <c r="A12" s="2" t="s">
        <v>26</v>
      </c>
      <c r="B12" t="s">
        <v>27</v>
      </c>
      <c r="C12" s="3">
        <v>280</v>
      </c>
      <c r="D12" s="3">
        <v>50</v>
      </c>
      <c r="E12" s="3">
        <v>42</v>
      </c>
      <c r="F12" s="3">
        <v>24</v>
      </c>
      <c r="G12" s="3">
        <v>11</v>
      </c>
      <c r="H12" s="3">
        <v>407</v>
      </c>
      <c r="J12" s="2" t="s">
        <v>26</v>
      </c>
      <c r="K12">
        <v>5</v>
      </c>
      <c r="L12">
        <v>6</v>
      </c>
      <c r="M12">
        <v>2</v>
      </c>
      <c r="N12">
        <v>3</v>
      </c>
      <c r="O12">
        <v>2</v>
      </c>
      <c r="P12">
        <v>18</v>
      </c>
    </row>
    <row r="13" spans="1:16">
      <c r="A13" s="2" t="s">
        <v>28</v>
      </c>
      <c r="B13" t="s">
        <v>27</v>
      </c>
      <c r="C13" s="3">
        <v>230</v>
      </c>
      <c r="D13" s="3">
        <v>32</v>
      </c>
      <c r="E13" s="3">
        <v>80</v>
      </c>
      <c r="F13" s="3">
        <v>21</v>
      </c>
      <c r="G13" s="3">
        <v>10</v>
      </c>
      <c r="H13" s="3">
        <v>373</v>
      </c>
      <c r="J13" s="2" t="s">
        <v>28</v>
      </c>
      <c r="K13">
        <v>3</v>
      </c>
      <c r="L13">
        <v>5</v>
      </c>
      <c r="M13">
        <v>4</v>
      </c>
      <c r="N13">
        <v>3</v>
      </c>
      <c r="O13">
        <v>2</v>
      </c>
      <c r="P13">
        <v>17</v>
      </c>
    </row>
    <row r="14" spans="1:16">
      <c r="A14" s="2" t="s">
        <v>29</v>
      </c>
      <c r="B14" t="s">
        <v>27</v>
      </c>
      <c r="C14" s="3">
        <v>170</v>
      </c>
      <c r="D14" s="3">
        <v>20</v>
      </c>
      <c r="E14" s="3">
        <v>45</v>
      </c>
      <c r="F14" s="3">
        <v>18</v>
      </c>
      <c r="G14" s="3">
        <v>9</v>
      </c>
      <c r="H14" s="3">
        <v>262</v>
      </c>
      <c r="J14" s="2" t="s">
        <v>29</v>
      </c>
      <c r="K14">
        <v>2</v>
      </c>
      <c r="L14">
        <v>4</v>
      </c>
      <c r="M14">
        <v>2</v>
      </c>
      <c r="N14">
        <v>2</v>
      </c>
      <c r="O14">
        <v>2</v>
      </c>
      <c r="P14">
        <v>12</v>
      </c>
    </row>
    <row r="15" spans="1:16">
      <c r="A15" s="2" t="s">
        <v>30</v>
      </c>
      <c r="B15" t="s">
        <v>16</v>
      </c>
      <c r="C15" s="3">
        <v>130</v>
      </c>
      <c r="D15" s="3">
        <v>12</v>
      </c>
      <c r="E15" s="3">
        <v>35</v>
      </c>
      <c r="F15" s="3">
        <v>16</v>
      </c>
      <c r="G15" s="3">
        <v>8</v>
      </c>
      <c r="H15" s="3">
        <v>201</v>
      </c>
      <c r="J15" s="2" t="s">
        <v>30</v>
      </c>
      <c r="K15">
        <v>1</v>
      </c>
      <c r="L15">
        <v>4</v>
      </c>
      <c r="M15">
        <v>2</v>
      </c>
      <c r="N15">
        <v>2</v>
      </c>
      <c r="O15">
        <v>2</v>
      </c>
      <c r="P15">
        <v>11</v>
      </c>
    </row>
    <row r="18" spans="1:5" ht="15">
      <c r="A18" s="10" t="s">
        <v>31</v>
      </c>
      <c r="B18" s="8"/>
      <c r="C18" s="8"/>
      <c r="D18" s="8"/>
      <c r="E18" s="8"/>
    </row>
    <row r="19" spans="1:5" ht="15">
      <c r="A19" s="5" t="s">
        <v>3</v>
      </c>
      <c r="B19" s="5" t="s">
        <v>32</v>
      </c>
      <c r="C19" s="5" t="s">
        <v>33</v>
      </c>
      <c r="D19" s="5" t="s">
        <v>34</v>
      </c>
      <c r="E19" s="5" t="s">
        <v>35</v>
      </c>
    </row>
    <row r="20" spans="1:5">
      <c r="A20" t="s">
        <v>16</v>
      </c>
      <c r="B20" s="6">
        <f>AVERAGEIF($B$4:$B$15,A20,$H$4:$H$15)</f>
        <v>161.66666666666666</v>
      </c>
      <c r="C20" s="6">
        <f>_xlfn.MAXIFS($H$4:$H$15,$B$4:$B$15,A20)</f>
        <v>201</v>
      </c>
      <c r="D20" s="6">
        <f>SUMIF($B$4:$B$15,A20,$P$4:$P$15)/COUNTIF($B$4:$B$15,A20)</f>
        <v>9.6666666666666661</v>
      </c>
      <c r="E20" s="6">
        <f>D20/B20*100</f>
        <v>5.9793814432989691</v>
      </c>
    </row>
    <row r="21" spans="1:5">
      <c r="A21" t="s">
        <v>19</v>
      </c>
      <c r="B21" s="6">
        <f>AVERAGEIF($B$4:$B$15,A21,$H$4:$H$15)</f>
        <v>300.66666666666669</v>
      </c>
      <c r="C21" s="6">
        <f t="shared" ref="C21:C23" si="0">_xlfn.MAXIFS($H$4:$H$15,$B$4:$B$15,A21)</f>
        <v>381</v>
      </c>
      <c r="D21" s="6">
        <f>SUMIF($B$4:$B$15,A21,$P$4:$P$15)/COUNTIF($B$4:$B$15,A21)</f>
        <v>15.333333333333334</v>
      </c>
      <c r="E21" s="6">
        <f>D21/B21*100</f>
        <v>5.0997782705099777</v>
      </c>
    </row>
    <row r="22" spans="1:5">
      <c r="A22" t="s">
        <v>23</v>
      </c>
      <c r="B22" s="6">
        <f>AVERAGEIF($B$4:$B$15,A22,$H$4:$H$15)</f>
        <v>555.66666666666663</v>
      </c>
      <c r="C22" s="6">
        <f t="shared" si="0"/>
        <v>592</v>
      </c>
      <c r="D22" s="6">
        <f>SUMIF($B$4:$B$15,A22,$P$4:$P$15)/COUNTIF($B$4:$B$15,A22)</f>
        <v>26</v>
      </c>
      <c r="E22" s="6">
        <f>D22/B22*100</f>
        <v>4.6790641871625676</v>
      </c>
    </row>
    <row r="23" spans="1:5">
      <c r="A23" t="s">
        <v>27</v>
      </c>
      <c r="B23" s="6">
        <f>AVERAGEIF($B$4:$B$15,A23,$H$4:$H$15)</f>
        <v>347.33333333333331</v>
      </c>
      <c r="C23" s="6">
        <f t="shared" si="0"/>
        <v>407</v>
      </c>
      <c r="D23" s="6">
        <f>SUMIF($B$4:$B$15,A23,$P$4:$P$15)/COUNTIF($B$4:$B$15,A23)</f>
        <v>15.666666666666666</v>
      </c>
      <c r="E23" s="6">
        <f>D23/B23*100</f>
        <v>4.5105566218809985</v>
      </c>
    </row>
  </sheetData>
  <mergeCells count="3">
    <mergeCell ref="A1:H1"/>
    <mergeCell ref="J1:O1"/>
    <mergeCell ref="A18:E18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F155203BB7794599650D0B8286FBE3" ma:contentTypeVersion="11" ma:contentTypeDescription="Create a new document." ma:contentTypeScope="" ma:versionID="26dad68c7049115f9e9ac968ad5da5bf">
  <xsd:schema xmlns:xsd="http://www.w3.org/2001/XMLSchema" xmlns:xs="http://www.w3.org/2001/XMLSchema" xmlns:p="http://schemas.microsoft.com/office/2006/metadata/properties" xmlns:ns2="79930308-bf5e-4588-a716-52d3a3367534" xmlns:ns3="e3379b5f-2cbd-4b5a-9ff4-4967b263e271" targetNamespace="http://schemas.microsoft.com/office/2006/metadata/properties" ma:root="true" ma:fieldsID="b263152b47760e38949a519ab291c013" ns2:_="" ns3:_="">
    <xsd:import namespace="79930308-bf5e-4588-a716-52d3a3367534"/>
    <xsd:import namespace="e3379b5f-2cbd-4b5a-9ff4-4967b263e2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930308-bf5e-4588-a716-52d3a33675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5db4da6-8dc2-4389-ad6d-c953cbf8d6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379b5f-2cbd-4b5a-9ff4-4967b263e27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dd62e39-4b7e-4dd7-a27f-da3e32db3afe}" ma:internalName="TaxCatchAll" ma:showField="CatchAllData" ma:web="e3379b5f-2cbd-4b5a-9ff4-4967b263e2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930308-bf5e-4588-a716-52d3a3367534">
      <Terms xmlns="http://schemas.microsoft.com/office/infopath/2007/PartnerControls"/>
    </lcf76f155ced4ddcb4097134ff3c332f>
    <TaxCatchAll xmlns="e3379b5f-2cbd-4b5a-9ff4-4967b263e271" xsi:nil="true"/>
  </documentManagement>
</p:properties>
</file>

<file path=customXml/itemProps1.xml><?xml version="1.0" encoding="utf-8"?>
<ds:datastoreItem xmlns:ds="http://schemas.openxmlformats.org/officeDocument/2006/customXml" ds:itemID="{8101613C-4F10-4B80-9932-F8C953573F0E}"/>
</file>

<file path=customXml/itemProps2.xml><?xml version="1.0" encoding="utf-8"?>
<ds:datastoreItem xmlns:ds="http://schemas.openxmlformats.org/officeDocument/2006/customXml" ds:itemID="{6666942E-174D-4B2D-AF14-DD7A13548C69}"/>
</file>

<file path=customXml/itemProps3.xml><?xml version="1.0" encoding="utf-8"?>
<ds:datastoreItem xmlns:ds="http://schemas.openxmlformats.org/officeDocument/2006/customXml" ds:itemID="{14D5C27B-0AD1-44AB-9E27-7F46A9CB8499}"/>
</file>

<file path=docMetadata/LabelInfo.xml><?xml version="1.0" encoding="utf-8"?>
<clbl:labelList xmlns:clbl="http://schemas.microsoft.com/office/2020/mipLabelMetadata">
  <clbl:label id="{be40a852-be98-4341-a282-4f67857dc44b}" enabled="1" method="Standard" siteId="{7012c3fd-fc98-4498-99bd-f9d61de236e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Attendance_Staffing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Manibog</dc:creator>
  <cp:lastModifiedBy>Jason Manibog</cp:lastModifiedBy>
  <dcterms:created xsi:type="dcterms:W3CDTF">2026-04-14T00:25:21Z</dcterms:created>
  <dcterms:modified xsi:type="dcterms:W3CDTF">2026-04-14T00:26:51Z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0x010100A1F155203BB7794599650D0B8286FBE3</vt:lpwstr>
  </property>
  <property fmtid="{D5CDD505-2E9C-101B-9397-08002B2CF9AE}" pid="3" name="MediaServiceImageTags">
    <vt:lpwstr/>
  </property>
</Properties>
</file>